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FCW_ADAS\"/>
    </mc:Choice>
  </mc:AlternateContent>
  <xr:revisionPtr revIDLastSave="0" documentId="13_ncr:1_{B768F409-9AE6-4364-8F0B-1924FCB25F81}" xr6:coauthVersionLast="47" xr6:coauthVersionMax="47" xr10:uidLastSave="{00000000-0000-0000-0000-000000000000}"/>
  <bookViews>
    <workbookView xWindow="2964" yWindow="2964" windowWidth="17280" windowHeight="8964" xr2:uid="{00000000-000D-0000-FFFF-FFFF00000000}"/>
  </bookViews>
  <sheets>
    <sheet name="FCW_TestCases" sheetId="1" r:id="rId1"/>
    <sheet name="FCW_Require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J4" i="1"/>
  <c r="F21" i="1"/>
  <c r="H20" i="1"/>
  <c r="F20" i="1"/>
  <c r="F19" i="1"/>
  <c r="H18" i="1"/>
  <c r="F18" i="1"/>
  <c r="F17" i="1"/>
  <c r="H16" i="1"/>
  <c r="F16" i="1"/>
  <c r="F15" i="1"/>
  <c r="H14" i="1"/>
  <c r="F14" i="1"/>
  <c r="F13" i="1"/>
  <c r="F12" i="1"/>
  <c r="H12" i="1" s="1"/>
  <c r="H11" i="1"/>
  <c r="F11" i="1"/>
  <c r="F10" i="1"/>
  <c r="H10" i="1" s="1"/>
  <c r="H9" i="1"/>
  <c r="F9" i="1"/>
  <c r="F8" i="1"/>
  <c r="H8" i="1" s="1"/>
  <c r="H7" i="1"/>
  <c r="F7" i="1"/>
  <c r="F6" i="1"/>
  <c r="H6" i="1" s="1"/>
  <c r="F5" i="1"/>
  <c r="G4" i="1"/>
  <c r="F4" i="1"/>
  <c r="F3" i="1"/>
  <c r="H3" i="1" s="1"/>
  <c r="H2" i="1"/>
  <c r="G2" i="1"/>
  <c r="K2" i="1" s="1"/>
  <c r="F2" i="1"/>
  <c r="J2" i="1" s="1"/>
  <c r="I2" i="1" s="1"/>
  <c r="K7" i="1" l="1"/>
  <c r="K15" i="1"/>
  <c r="K19" i="1"/>
  <c r="J12" i="1"/>
  <c r="H13" i="1"/>
  <c r="J14" i="1"/>
  <c r="H15" i="1"/>
  <c r="H17" i="1"/>
  <c r="J18" i="1"/>
  <c r="H19" i="1"/>
  <c r="H21" i="1"/>
  <c r="G3" i="1"/>
  <c r="K3" i="1" s="1"/>
  <c r="G6" i="1"/>
  <c r="J6" i="1" s="1"/>
  <c r="I6" i="1" s="1"/>
  <c r="K6" i="1"/>
  <c r="G8" i="1"/>
  <c r="K8" i="1"/>
  <c r="G10" i="1"/>
  <c r="K10" i="1"/>
  <c r="G12" i="1"/>
  <c r="K12" i="1"/>
  <c r="G14" i="1"/>
  <c r="K14" i="1" s="1"/>
  <c r="G16" i="1"/>
  <c r="J16" i="1" s="1"/>
  <c r="G18" i="1"/>
  <c r="K18" i="1" s="1"/>
  <c r="G20" i="1"/>
  <c r="K20" i="1" s="1"/>
  <c r="G5" i="1"/>
  <c r="K5" i="1" s="1"/>
  <c r="J8" i="1"/>
  <c r="I8" i="1" s="1"/>
  <c r="J10" i="1"/>
  <c r="J5" i="1"/>
  <c r="G7" i="1"/>
  <c r="J7" i="1" s="1"/>
  <c r="I7" i="1" s="1"/>
  <c r="G9" i="1"/>
  <c r="K9" i="1" s="1"/>
  <c r="G11" i="1"/>
  <c r="K11" i="1" s="1"/>
  <c r="G13" i="1"/>
  <c r="K13" i="1" s="1"/>
  <c r="G15" i="1"/>
  <c r="J15" i="1" s="1"/>
  <c r="I15" i="1" s="1"/>
  <c r="G17" i="1"/>
  <c r="K17" i="1" s="1"/>
  <c r="G19" i="1"/>
  <c r="J19" i="1" s="1"/>
  <c r="I19" i="1" s="1"/>
  <c r="G21" i="1"/>
  <c r="K21" i="1" s="1"/>
  <c r="J21" i="1" l="1"/>
  <c r="I21" i="1" s="1"/>
  <c r="J13" i="1"/>
  <c r="I13" i="1" s="1"/>
  <c r="I5" i="1"/>
  <c r="I18" i="1"/>
  <c r="I14" i="1"/>
  <c r="K16" i="1"/>
  <c r="I16" i="1" s="1"/>
  <c r="J11" i="1"/>
  <c r="I11" i="1" s="1"/>
  <c r="I10" i="1"/>
  <c r="J3" i="1"/>
  <c r="I3" i="1" s="1"/>
  <c r="J17" i="1"/>
  <c r="I17" i="1" s="1"/>
  <c r="J9" i="1"/>
  <c r="I9" i="1" s="1"/>
  <c r="J20" i="1"/>
  <c r="I20" i="1" s="1"/>
  <c r="I12" i="1"/>
</calcChain>
</file>

<file path=xl/sharedStrings.xml><?xml version="1.0" encoding="utf-8"?>
<sst xmlns="http://schemas.openxmlformats.org/spreadsheetml/2006/main" count="88" uniqueCount="86">
  <si>
    <t>TestID</t>
  </si>
  <si>
    <t>DistanceRelative_m</t>
  </si>
  <si>
    <t>VitesseRelative_mps</t>
  </si>
  <si>
    <t>TargetPresent</t>
  </si>
  <si>
    <t>TargetInLane</t>
  </si>
  <si>
    <t>ClosingSpeed_mps</t>
  </si>
  <si>
    <t>DFCW_m</t>
  </si>
  <si>
    <t>TTC_s</t>
  </si>
  <si>
    <t>Expected_SAFE</t>
  </si>
  <si>
    <t>Expected_YELLOWWARNING</t>
  </si>
  <si>
    <t>Expected_REDWARNING</t>
  </si>
  <si>
    <t>TestPurpose</t>
  </si>
  <si>
    <t>FCW_001</t>
  </si>
  <si>
    <t>Target absent</t>
  </si>
  <si>
    <t>FCW_002</t>
  </si>
  <si>
    <t>Target outside lane</t>
  </si>
  <si>
    <t>FCW_003</t>
  </si>
  <si>
    <t>Zero relative speed</t>
  </si>
  <si>
    <t>FCW_004</t>
  </si>
  <si>
    <t>Target moving away</t>
  </si>
  <si>
    <t>FCW_005</t>
  </si>
  <si>
    <t>Far target, low closing speed</t>
  </si>
  <si>
    <t>FCW_006</t>
  </si>
  <si>
    <t>TTC exactly 4 s boundary</t>
  </si>
  <si>
    <t>FCW_007</t>
  </si>
  <si>
    <t>TTC just above 4 s</t>
  </si>
  <si>
    <t>FCW_008</t>
  </si>
  <si>
    <t>Distance = DFCW boundary → RED</t>
  </si>
  <si>
    <t>FCW_009</t>
  </si>
  <si>
    <t>Below DFCW, RED</t>
  </si>
  <si>
    <t>FCW_010</t>
  </si>
  <si>
    <t>Above DFCW but TTC &lt;= 4</t>
  </si>
  <si>
    <t>FCW_011</t>
  </si>
  <si>
    <t>FCW_012</t>
  </si>
  <si>
    <t>Just above DFCW, YELLOW</t>
  </si>
  <si>
    <t>FCW_013</t>
  </si>
  <si>
    <t>TTC exactly 4 s at 10 m/s</t>
  </si>
  <si>
    <t>FCW_014</t>
  </si>
  <si>
    <t>Just above TTC 4 s, SAFE</t>
  </si>
  <si>
    <t>FCW_015</t>
  </si>
  <si>
    <t>FCW_016</t>
  </si>
  <si>
    <t>Above DFCW, TTC below 4 s</t>
  </si>
  <si>
    <t>FCW_017</t>
  </si>
  <si>
    <t>TTC exactly 4 s at 15 m/s</t>
  </si>
  <si>
    <t>FCW_018</t>
  </si>
  <si>
    <t>Just above TTC threshold</t>
  </si>
  <si>
    <t>FCW_019</t>
  </si>
  <si>
    <t>DFCW boundary at 20 m/s closing</t>
  </si>
  <si>
    <t>FCW_020</t>
  </si>
  <si>
    <t>Above DFCW, TTC exactly 4 s</t>
  </si>
  <si>
    <t>Rule</t>
  </si>
  <si>
    <t>Definition</t>
  </si>
  <si>
    <t>REQ-FCW-001</t>
  </si>
  <si>
    <t>If TargetPresent = 0 OR TargetInLane = 0, output SAFE.</t>
  </si>
  <si>
    <t>REQ-FCW-002</t>
  </si>
  <si>
    <t>ClosingSpeed = max(-VitesseRelative, 0).</t>
  </si>
  <si>
    <t>REQ-FCW-003</t>
  </si>
  <si>
    <t>DFCW = 1.2 × ClosingSpeed + ClosingSpeed² / 7.84.</t>
  </si>
  <si>
    <t>REQ-FCW-004</t>
  </si>
  <si>
    <t>If valid target AND ClosingSpeed &gt; 0 AND DistanceRelative &lt;= DFCW, output REDWARNING.</t>
  </si>
  <si>
    <t>REQ-FCW-005</t>
  </si>
  <si>
    <t>Else if valid target AND ClosingSpeed &gt; 0 AND TTC &lt;= 4 s, output YELLOWWARNING.</t>
  </si>
  <si>
    <t>REQ-FCW-006</t>
  </si>
  <si>
    <t>Otherwise output SAFE.</t>
  </si>
  <si>
    <t>REQ-FCW-007</t>
  </si>
  <si>
    <t>When ClosingSpeed = 0, TTC is not physically applicable; expected warning state remains SAFE.</t>
  </si>
  <si>
    <t>FCW_021</t>
  </si>
  <si>
    <t>Target absent despite short distance and high closing speed</t>
  </si>
  <si>
    <t>FCW_022</t>
  </si>
  <si>
    <t>Target outside lane despite short distance and high closing speed</t>
  </si>
  <si>
    <t>FCW_023</t>
  </si>
  <si>
    <t>Small positive relative speed; target moving away</t>
  </si>
  <si>
    <t>FCW_024</t>
  </si>
  <si>
    <t>DFCW boundary at 1 m/s closing → RED</t>
  </si>
  <si>
    <t>FCW_025</t>
  </si>
  <si>
    <t>Just above DFCW at 1 m/s; TTC &lt;= 4 → YELLOW</t>
  </si>
  <si>
    <t>FCW_026</t>
  </si>
  <si>
    <t>TTC exactly 4 s at 3 m/s closing → YELLOW</t>
  </si>
  <si>
    <t>FCW_027</t>
  </si>
  <si>
    <t>Just above TTC 4 s at 3 m/s → SAFE</t>
  </si>
  <si>
    <t>FCW_028</t>
  </si>
  <si>
    <t>DFCW boundary at 8 m/s closing → RED</t>
  </si>
  <si>
    <t>FCW_029</t>
  </si>
  <si>
    <t>Above DFCW with TTC below 4 s → YELLOW</t>
  </si>
  <si>
    <t>FCW_030</t>
  </si>
  <si>
    <t>Above DFCW and TTC above 4 s at high closing speed → 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</si>
</sst>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"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F1" workbookViewId="0">
      <selection activeCell="L1" sqref="L1:L1048576"/>
    </sheetView>
  </sheetViews>
  <sheetFormatPr baseColWidth="10" defaultColWidth="8.796875" defaultRowHeight="13.8"/>
  <cols>
    <col min="1" max="1" width="12" customWidth="1"/>
    <col min="2" max="2" width="18" customWidth="1"/>
    <col min="3" max="3" width="20" customWidth="1"/>
    <col min="4" max="5" width="14" customWidth="1"/>
    <col min="6" max="6" width="17" customWidth="1"/>
    <col min="7" max="7" width="14" customWidth="1"/>
    <col min="8" max="8" width="12" customWidth="1"/>
    <col min="9" max="9" width="14" customWidth="1"/>
    <col min="10" max="10" width="24" customWidth="1"/>
    <col min="11" max="11" width="21" customWidth="1"/>
    <col min="12" max="12" width="42" customWidth="1"/>
  </cols>
  <sheetData>
    <row r="1" spans="1:12" ht="21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4" t="s">
        <v>12</v>
      </c>
      <c r="B2" s="5">
        <v>20</v>
      </c>
      <c r="C2" s="5">
        <v>-10</v>
      </c>
      <c r="D2" s="6">
        <v>0</v>
      </c>
      <c r="E2" s="6">
        <v>0</v>
      </c>
      <c r="F2" s="5">
        <f t="shared" ref="F2:F21" si="0">MAX(-C2,0)</f>
        <v>10</v>
      </c>
      <c r="G2" s="5">
        <f t="shared" ref="G2:G21" si="1">1.2*F2+(F2^2)/7.84</f>
        <v>24.755102040816325</v>
      </c>
      <c r="H2" s="5">
        <f t="shared" ref="H2:H21" si="2">IF(F2=0,1E+99,B2/F2)</f>
        <v>2</v>
      </c>
      <c r="I2" s="6">
        <f t="shared" ref="I2:I21" si="3">IF(AND(J2=0,K2=0),1,0)</f>
        <v>1</v>
      </c>
      <c r="J2" s="6">
        <f t="shared" ref="J2:J21" si="4">IF(AND(D2=1,E2=1,F2&gt;0,B2&gt;G2,H2&lt;=4),1,0)</f>
        <v>0</v>
      </c>
      <c r="K2" s="6">
        <f t="shared" ref="K2:K21" si="5">IF(AND(D2=1,E2=1,F2&gt;0,B2&lt;=G2),1,0)</f>
        <v>0</v>
      </c>
      <c r="L2" s="7" t="s">
        <v>13</v>
      </c>
    </row>
    <row r="3" spans="1:12">
      <c r="A3" s="4" t="s">
        <v>14</v>
      </c>
      <c r="B3" s="5">
        <v>20</v>
      </c>
      <c r="C3" s="5">
        <v>-10</v>
      </c>
      <c r="D3" s="6">
        <v>1</v>
      </c>
      <c r="E3" s="6">
        <v>0</v>
      </c>
      <c r="F3" s="5">
        <f t="shared" si="0"/>
        <v>10</v>
      </c>
      <c r="G3" s="5">
        <f t="shared" si="1"/>
        <v>24.755102040816325</v>
      </c>
      <c r="H3" s="5">
        <f t="shared" si="2"/>
        <v>2</v>
      </c>
      <c r="I3" s="6">
        <f t="shared" si="3"/>
        <v>1</v>
      </c>
      <c r="J3" s="6">
        <f t="shared" si="4"/>
        <v>0</v>
      </c>
      <c r="K3" s="6">
        <f t="shared" si="5"/>
        <v>0</v>
      </c>
      <c r="L3" s="7" t="s">
        <v>15</v>
      </c>
    </row>
    <row r="4" spans="1:12">
      <c r="A4" s="4" t="s">
        <v>16</v>
      </c>
      <c r="B4" s="5">
        <v>20</v>
      </c>
      <c r="C4" s="5">
        <v>0</v>
      </c>
      <c r="D4" s="6">
        <v>1</v>
      </c>
      <c r="E4" s="6">
        <v>1</v>
      </c>
      <c r="F4" s="5">
        <f t="shared" si="0"/>
        <v>0</v>
      </c>
      <c r="G4" s="5">
        <f t="shared" si="1"/>
        <v>0</v>
      </c>
      <c r="H4" s="5">
        <v>99999</v>
      </c>
      <c r="I4" s="6">
        <f t="shared" si="3"/>
        <v>0</v>
      </c>
      <c r="J4" s="6">
        <f t="shared" si="4"/>
        <v>0</v>
      </c>
      <c r="K4" s="6">
        <v>1</v>
      </c>
      <c r="L4" s="7" t="s">
        <v>17</v>
      </c>
    </row>
    <row r="5" spans="1:12">
      <c r="A5" s="4" t="s">
        <v>18</v>
      </c>
      <c r="B5" s="5">
        <v>20</v>
      </c>
      <c r="C5" s="5">
        <v>5</v>
      </c>
      <c r="D5" s="6">
        <v>1</v>
      </c>
      <c r="E5" s="6">
        <v>1</v>
      </c>
      <c r="F5" s="5">
        <f t="shared" si="0"/>
        <v>0</v>
      </c>
      <c r="G5" s="5">
        <f t="shared" si="1"/>
        <v>0</v>
      </c>
      <c r="H5" s="5">
        <v>99999</v>
      </c>
      <c r="I5" s="6">
        <f t="shared" si="3"/>
        <v>1</v>
      </c>
      <c r="J5" s="6">
        <f t="shared" si="4"/>
        <v>0</v>
      </c>
      <c r="K5" s="6">
        <f t="shared" si="5"/>
        <v>0</v>
      </c>
      <c r="L5" s="7" t="s">
        <v>19</v>
      </c>
    </row>
    <row r="6" spans="1:12">
      <c r="A6" s="4" t="s">
        <v>20</v>
      </c>
      <c r="B6" s="5">
        <v>80</v>
      </c>
      <c r="C6" s="5">
        <v>-2</v>
      </c>
      <c r="D6" s="6">
        <v>1</v>
      </c>
      <c r="E6" s="6">
        <v>1</v>
      </c>
      <c r="F6" s="5">
        <f t="shared" si="0"/>
        <v>2</v>
      </c>
      <c r="G6" s="5">
        <f t="shared" si="1"/>
        <v>2.9102040816326529</v>
      </c>
      <c r="H6" s="5">
        <f t="shared" si="2"/>
        <v>40</v>
      </c>
      <c r="I6" s="6">
        <f t="shared" si="3"/>
        <v>1</v>
      </c>
      <c r="J6" s="6">
        <f t="shared" si="4"/>
        <v>0</v>
      </c>
      <c r="K6" s="6">
        <f t="shared" si="5"/>
        <v>0</v>
      </c>
      <c r="L6" s="7" t="s">
        <v>21</v>
      </c>
    </row>
    <row r="7" spans="1:12">
      <c r="A7" s="4" t="s">
        <v>22</v>
      </c>
      <c r="B7" s="5">
        <v>20</v>
      </c>
      <c r="C7" s="5">
        <v>-5</v>
      </c>
      <c r="D7" s="6">
        <v>1</v>
      </c>
      <c r="E7" s="6">
        <v>1</v>
      </c>
      <c r="F7" s="5">
        <f t="shared" si="0"/>
        <v>5</v>
      </c>
      <c r="G7" s="5">
        <f t="shared" si="1"/>
        <v>9.1887755102040813</v>
      </c>
      <c r="H7" s="5">
        <f t="shared" si="2"/>
        <v>4</v>
      </c>
      <c r="I7" s="6">
        <f t="shared" si="3"/>
        <v>0</v>
      </c>
      <c r="J7" s="6">
        <f t="shared" si="4"/>
        <v>1</v>
      </c>
      <c r="K7" s="6">
        <f t="shared" si="5"/>
        <v>0</v>
      </c>
      <c r="L7" s="7" t="s">
        <v>23</v>
      </c>
    </row>
    <row r="8" spans="1:12">
      <c r="A8" s="4" t="s">
        <v>24</v>
      </c>
      <c r="B8" s="5">
        <v>20.5</v>
      </c>
      <c r="C8" s="5">
        <v>-5</v>
      </c>
      <c r="D8" s="6">
        <v>1</v>
      </c>
      <c r="E8" s="6">
        <v>1</v>
      </c>
      <c r="F8" s="5">
        <f t="shared" si="0"/>
        <v>5</v>
      </c>
      <c r="G8" s="5">
        <f t="shared" si="1"/>
        <v>9.1887755102040813</v>
      </c>
      <c r="H8" s="5">
        <f t="shared" si="2"/>
        <v>4.0999999999999996</v>
      </c>
      <c r="I8" s="6">
        <f t="shared" si="3"/>
        <v>1</v>
      </c>
      <c r="J8" s="6">
        <f t="shared" si="4"/>
        <v>0</v>
      </c>
      <c r="K8" s="6">
        <f t="shared" si="5"/>
        <v>0</v>
      </c>
      <c r="L8" s="7" t="s">
        <v>25</v>
      </c>
    </row>
    <row r="9" spans="1:12">
      <c r="A9" s="4" t="s">
        <v>26</v>
      </c>
      <c r="B9" s="5">
        <v>9.1887755102040813</v>
      </c>
      <c r="C9" s="5">
        <v>-5</v>
      </c>
      <c r="D9" s="6">
        <v>1</v>
      </c>
      <c r="E9" s="6">
        <v>1</v>
      </c>
      <c r="F9" s="5">
        <f t="shared" si="0"/>
        <v>5</v>
      </c>
      <c r="G9" s="5">
        <f t="shared" si="1"/>
        <v>9.1887755102040813</v>
      </c>
      <c r="H9" s="5">
        <f t="shared" si="2"/>
        <v>1.8377551020408163</v>
      </c>
      <c r="I9" s="6">
        <f t="shared" si="3"/>
        <v>0</v>
      </c>
      <c r="J9" s="6">
        <f t="shared" si="4"/>
        <v>0</v>
      </c>
      <c r="K9" s="6">
        <f t="shared" si="5"/>
        <v>1</v>
      </c>
      <c r="L9" s="7" t="s">
        <v>27</v>
      </c>
    </row>
    <row r="10" spans="1:12">
      <c r="A10" s="4" t="s">
        <v>28</v>
      </c>
      <c r="B10" s="5">
        <v>9</v>
      </c>
      <c r="C10" s="5">
        <v>-5</v>
      </c>
      <c r="D10" s="6">
        <v>1</v>
      </c>
      <c r="E10" s="6">
        <v>1</v>
      </c>
      <c r="F10" s="5">
        <f t="shared" si="0"/>
        <v>5</v>
      </c>
      <c r="G10" s="5">
        <f t="shared" si="1"/>
        <v>9.1887755102040813</v>
      </c>
      <c r="H10" s="5">
        <f t="shared" si="2"/>
        <v>1.8</v>
      </c>
      <c r="I10" s="6">
        <f t="shared" si="3"/>
        <v>0</v>
      </c>
      <c r="J10" s="6">
        <f t="shared" si="4"/>
        <v>0</v>
      </c>
      <c r="K10" s="6">
        <f t="shared" si="5"/>
        <v>1</v>
      </c>
      <c r="L10" s="7" t="s">
        <v>29</v>
      </c>
    </row>
    <row r="11" spans="1:12">
      <c r="A11" s="4" t="s">
        <v>30</v>
      </c>
      <c r="B11" s="5">
        <v>10</v>
      </c>
      <c r="C11" s="5">
        <v>-5</v>
      </c>
      <c r="D11" s="6">
        <v>1</v>
      </c>
      <c r="E11" s="6">
        <v>1</v>
      </c>
      <c r="F11" s="5">
        <f t="shared" si="0"/>
        <v>5</v>
      </c>
      <c r="G11" s="5">
        <f t="shared" si="1"/>
        <v>9.1887755102040813</v>
      </c>
      <c r="H11" s="5">
        <f t="shared" si="2"/>
        <v>2</v>
      </c>
      <c r="I11" s="6">
        <f t="shared" si="3"/>
        <v>0</v>
      </c>
      <c r="J11" s="6">
        <f t="shared" si="4"/>
        <v>1</v>
      </c>
      <c r="K11" s="6">
        <f t="shared" si="5"/>
        <v>0</v>
      </c>
      <c r="L11" s="7" t="s">
        <v>31</v>
      </c>
    </row>
    <row r="12" spans="1:12">
      <c r="A12" s="4" t="s">
        <v>32</v>
      </c>
      <c r="B12" s="5">
        <v>24.755102040816325</v>
      </c>
      <c r="C12" s="5">
        <v>-10</v>
      </c>
      <c r="D12" s="6">
        <v>1</v>
      </c>
      <c r="E12" s="6">
        <v>1</v>
      </c>
      <c r="F12" s="5">
        <f t="shared" si="0"/>
        <v>10</v>
      </c>
      <c r="G12" s="5">
        <f t="shared" si="1"/>
        <v>24.755102040816325</v>
      </c>
      <c r="H12" s="5">
        <f t="shared" si="2"/>
        <v>2.4755102040816324</v>
      </c>
      <c r="I12" s="6">
        <f t="shared" si="3"/>
        <v>0</v>
      </c>
      <c r="J12" s="6">
        <f t="shared" si="4"/>
        <v>0</v>
      </c>
      <c r="K12" s="6">
        <f t="shared" si="5"/>
        <v>1</v>
      </c>
      <c r="L12" s="7" t="s">
        <v>27</v>
      </c>
    </row>
    <row r="13" spans="1:12">
      <c r="A13" s="4" t="s">
        <v>33</v>
      </c>
      <c r="B13" s="5">
        <v>25</v>
      </c>
      <c r="C13" s="5">
        <v>-10</v>
      </c>
      <c r="D13" s="6">
        <v>1</v>
      </c>
      <c r="E13" s="6">
        <v>1</v>
      </c>
      <c r="F13" s="5">
        <f t="shared" si="0"/>
        <v>10</v>
      </c>
      <c r="G13" s="5">
        <f t="shared" si="1"/>
        <v>24.755102040816325</v>
      </c>
      <c r="H13" s="5">
        <f t="shared" si="2"/>
        <v>2.5</v>
      </c>
      <c r="I13" s="6">
        <f t="shared" si="3"/>
        <v>0</v>
      </c>
      <c r="J13" s="6">
        <f t="shared" si="4"/>
        <v>1</v>
      </c>
      <c r="K13" s="6">
        <f t="shared" si="5"/>
        <v>0</v>
      </c>
      <c r="L13" s="7" t="s">
        <v>34</v>
      </c>
    </row>
    <row r="14" spans="1:12">
      <c r="A14" s="4" t="s">
        <v>35</v>
      </c>
      <c r="B14" s="5">
        <v>40</v>
      </c>
      <c r="C14" s="5">
        <v>-10</v>
      </c>
      <c r="D14" s="6">
        <v>1</v>
      </c>
      <c r="E14" s="6">
        <v>1</v>
      </c>
      <c r="F14" s="5">
        <f t="shared" si="0"/>
        <v>10</v>
      </c>
      <c r="G14" s="5">
        <f t="shared" si="1"/>
        <v>24.755102040816325</v>
      </c>
      <c r="H14" s="5">
        <f t="shared" si="2"/>
        <v>4</v>
      </c>
      <c r="I14" s="6">
        <f t="shared" si="3"/>
        <v>0</v>
      </c>
      <c r="J14" s="6">
        <f t="shared" si="4"/>
        <v>1</v>
      </c>
      <c r="K14" s="6">
        <f t="shared" si="5"/>
        <v>0</v>
      </c>
      <c r="L14" s="7" t="s">
        <v>36</v>
      </c>
    </row>
    <row r="15" spans="1:12">
      <c r="A15" s="4" t="s">
        <v>37</v>
      </c>
      <c r="B15" s="5">
        <v>40.1</v>
      </c>
      <c r="C15" s="5">
        <v>-10</v>
      </c>
      <c r="D15" s="6">
        <v>1</v>
      </c>
      <c r="E15" s="6">
        <v>1</v>
      </c>
      <c r="F15" s="5">
        <f t="shared" si="0"/>
        <v>10</v>
      </c>
      <c r="G15" s="5">
        <f t="shared" si="1"/>
        <v>24.755102040816325</v>
      </c>
      <c r="H15" s="5">
        <f t="shared" si="2"/>
        <v>4.01</v>
      </c>
      <c r="I15" s="6">
        <f t="shared" si="3"/>
        <v>1</v>
      </c>
      <c r="J15" s="6">
        <f t="shared" si="4"/>
        <v>0</v>
      </c>
      <c r="K15" s="6">
        <f t="shared" si="5"/>
        <v>0</v>
      </c>
      <c r="L15" s="7" t="s">
        <v>38</v>
      </c>
    </row>
    <row r="16" spans="1:12">
      <c r="A16" s="4" t="s">
        <v>39</v>
      </c>
      <c r="B16" s="5">
        <v>46.698979591836732</v>
      </c>
      <c r="C16" s="5">
        <v>-15</v>
      </c>
      <c r="D16" s="6">
        <v>1</v>
      </c>
      <c r="E16" s="6">
        <v>1</v>
      </c>
      <c r="F16" s="5">
        <f t="shared" si="0"/>
        <v>15</v>
      </c>
      <c r="G16" s="5">
        <f t="shared" si="1"/>
        <v>46.698979591836732</v>
      </c>
      <c r="H16" s="5">
        <f t="shared" si="2"/>
        <v>3.1132653061224489</v>
      </c>
      <c r="I16" s="6">
        <f t="shared" si="3"/>
        <v>0</v>
      </c>
      <c r="J16" s="6">
        <f t="shared" si="4"/>
        <v>0</v>
      </c>
      <c r="K16" s="6">
        <f t="shared" si="5"/>
        <v>1</v>
      </c>
      <c r="L16" s="7" t="s">
        <v>27</v>
      </c>
    </row>
    <row r="17" spans="1:12">
      <c r="A17" s="4" t="s">
        <v>40</v>
      </c>
      <c r="B17" s="5">
        <v>50</v>
      </c>
      <c r="C17" s="5">
        <v>-15</v>
      </c>
      <c r="D17" s="6">
        <v>1</v>
      </c>
      <c r="E17" s="6">
        <v>1</v>
      </c>
      <c r="F17" s="5">
        <f t="shared" si="0"/>
        <v>15</v>
      </c>
      <c r="G17" s="5">
        <f t="shared" si="1"/>
        <v>46.698979591836732</v>
      </c>
      <c r="H17" s="5">
        <f t="shared" si="2"/>
        <v>3.3333333333333335</v>
      </c>
      <c r="I17" s="6">
        <f t="shared" si="3"/>
        <v>0</v>
      </c>
      <c r="J17" s="6">
        <f t="shared" si="4"/>
        <v>1</v>
      </c>
      <c r="K17" s="6">
        <f t="shared" si="5"/>
        <v>0</v>
      </c>
      <c r="L17" s="7" t="s">
        <v>41</v>
      </c>
    </row>
    <row r="18" spans="1:12">
      <c r="A18" s="4" t="s">
        <v>42</v>
      </c>
      <c r="B18" s="5">
        <v>60</v>
      </c>
      <c r="C18" s="5">
        <v>-15</v>
      </c>
      <c r="D18" s="6">
        <v>1</v>
      </c>
      <c r="E18" s="6">
        <v>1</v>
      </c>
      <c r="F18" s="5">
        <f t="shared" si="0"/>
        <v>15</v>
      </c>
      <c r="G18" s="5">
        <f t="shared" si="1"/>
        <v>46.698979591836732</v>
      </c>
      <c r="H18" s="5">
        <f t="shared" si="2"/>
        <v>4</v>
      </c>
      <c r="I18" s="6">
        <f t="shared" si="3"/>
        <v>0</v>
      </c>
      <c r="J18" s="6">
        <f t="shared" si="4"/>
        <v>1</v>
      </c>
      <c r="K18" s="6">
        <f t="shared" si="5"/>
        <v>0</v>
      </c>
      <c r="L18" s="7" t="s">
        <v>43</v>
      </c>
    </row>
    <row r="19" spans="1:12">
      <c r="A19" s="4" t="s">
        <v>44</v>
      </c>
      <c r="B19" s="5">
        <v>60.1</v>
      </c>
      <c r="C19" s="5">
        <v>-15</v>
      </c>
      <c r="D19" s="6">
        <v>1</v>
      </c>
      <c r="E19" s="6">
        <v>1</v>
      </c>
      <c r="F19" s="5">
        <f t="shared" si="0"/>
        <v>15</v>
      </c>
      <c r="G19" s="5">
        <f t="shared" si="1"/>
        <v>46.698979591836732</v>
      </c>
      <c r="H19" s="5">
        <f t="shared" si="2"/>
        <v>4.0066666666666668</v>
      </c>
      <c r="I19" s="6">
        <f t="shared" si="3"/>
        <v>1</v>
      </c>
      <c r="J19" s="6">
        <f t="shared" si="4"/>
        <v>0</v>
      </c>
      <c r="K19" s="6">
        <f t="shared" si="5"/>
        <v>0</v>
      </c>
      <c r="L19" s="7" t="s">
        <v>45</v>
      </c>
    </row>
    <row r="20" spans="1:12">
      <c r="A20" s="4" t="s">
        <v>46</v>
      </c>
      <c r="B20" s="5">
        <v>75.02</v>
      </c>
      <c r="C20" s="5">
        <v>-20</v>
      </c>
      <c r="D20" s="6">
        <v>1</v>
      </c>
      <c r="E20" s="6">
        <v>1</v>
      </c>
      <c r="F20" s="5">
        <f t="shared" si="0"/>
        <v>20</v>
      </c>
      <c r="G20" s="5">
        <f t="shared" si="1"/>
        <v>75.020408163265301</v>
      </c>
      <c r="H20" s="5">
        <f t="shared" si="2"/>
        <v>3.7509999999999999</v>
      </c>
      <c r="I20" s="6">
        <f t="shared" si="3"/>
        <v>0</v>
      </c>
      <c r="J20" s="6">
        <f t="shared" si="4"/>
        <v>0</v>
      </c>
      <c r="K20" s="6">
        <f t="shared" si="5"/>
        <v>1</v>
      </c>
      <c r="L20" s="7" t="s">
        <v>47</v>
      </c>
    </row>
    <row r="21" spans="1:12">
      <c r="A21" s="4" t="s">
        <v>48</v>
      </c>
      <c r="B21" s="5">
        <v>80</v>
      </c>
      <c r="C21" s="5">
        <v>-20</v>
      </c>
      <c r="D21" s="6">
        <v>1</v>
      </c>
      <c r="E21" s="6">
        <v>1</v>
      </c>
      <c r="F21" s="5">
        <f t="shared" si="0"/>
        <v>20</v>
      </c>
      <c r="G21" s="5">
        <f t="shared" si="1"/>
        <v>75.020408163265301</v>
      </c>
      <c r="H21" s="5">
        <f t="shared" si="2"/>
        <v>4</v>
      </c>
      <c r="I21" s="6">
        <f t="shared" si="3"/>
        <v>0</v>
      </c>
      <c r="J21" s="6">
        <f t="shared" si="4"/>
        <v>1</v>
      </c>
      <c r="K21" s="6">
        <f t="shared" si="5"/>
        <v>0</v>
      </c>
      <c r="L21" s="7" t="s">
        <v>49</v>
      </c>
    </row>
    <row r="22" spans="1:12" ht="27.6">
      <c r="A22" s="3" t="s">
        <v>66</v>
      </c>
      <c r="B22" s="3">
        <v>5</v>
      </c>
      <c r="C22" s="3">
        <v>-20</v>
      </c>
      <c r="D22" s="3">
        <v>0</v>
      </c>
      <c r="E22" s="3">
        <v>1</v>
      </c>
      <c r="F22" s="3">
        <v>20</v>
      </c>
      <c r="G22" s="3">
        <v>75.020408163265301</v>
      </c>
      <c r="H22" s="3">
        <v>0.25</v>
      </c>
      <c r="I22" s="3">
        <v>1</v>
      </c>
      <c r="J22" s="3">
        <v>0</v>
      </c>
      <c r="K22" s="3">
        <v>0</v>
      </c>
      <c r="L22" s="3" t="s">
        <v>67</v>
      </c>
    </row>
    <row r="23" spans="1:12" ht="27.6">
      <c r="A23" s="3" t="s">
        <v>68</v>
      </c>
      <c r="B23" s="3">
        <v>5</v>
      </c>
      <c r="C23" s="3">
        <v>-20</v>
      </c>
      <c r="D23" s="3">
        <v>1</v>
      </c>
      <c r="E23" s="3">
        <v>0</v>
      </c>
      <c r="F23" s="3">
        <v>20</v>
      </c>
      <c r="G23" s="3">
        <v>75.020408163265301</v>
      </c>
      <c r="H23" s="3">
        <v>0.25</v>
      </c>
      <c r="I23" s="3">
        <v>1</v>
      </c>
      <c r="J23" s="3">
        <v>0</v>
      </c>
      <c r="K23" s="3">
        <v>0</v>
      </c>
      <c r="L23" s="3" t="s">
        <v>69</v>
      </c>
    </row>
    <row r="24" spans="1:12">
      <c r="A24" s="3" t="s">
        <v>70</v>
      </c>
      <c r="B24" s="3">
        <v>5</v>
      </c>
      <c r="C24" s="3">
        <v>0.1</v>
      </c>
      <c r="D24" s="3">
        <v>1</v>
      </c>
      <c r="E24" s="3">
        <v>1</v>
      </c>
      <c r="F24" s="3">
        <v>0</v>
      </c>
      <c r="G24" s="3">
        <v>0</v>
      </c>
      <c r="H24" s="3">
        <v>99999</v>
      </c>
      <c r="I24" s="3">
        <v>1</v>
      </c>
      <c r="J24" s="3">
        <v>0</v>
      </c>
      <c r="K24" s="3">
        <v>0</v>
      </c>
      <c r="L24" s="3" t="s">
        <v>71</v>
      </c>
    </row>
    <row r="25" spans="1:12">
      <c r="A25" s="3" t="s">
        <v>72</v>
      </c>
      <c r="B25" s="3">
        <v>1.3275510204081633</v>
      </c>
      <c r="C25" s="3">
        <v>-1</v>
      </c>
      <c r="D25" s="3">
        <v>1</v>
      </c>
      <c r="E25" s="3">
        <v>1</v>
      </c>
      <c r="F25" s="3">
        <v>1</v>
      </c>
      <c r="G25" s="3">
        <v>1.3275510204081633</v>
      </c>
      <c r="H25" s="3">
        <v>1.3275510204081633</v>
      </c>
      <c r="I25" s="3">
        <v>0</v>
      </c>
      <c r="J25" s="3">
        <v>0</v>
      </c>
      <c r="K25" s="3">
        <v>1</v>
      </c>
      <c r="L25" s="3" t="s">
        <v>73</v>
      </c>
    </row>
    <row r="26" spans="1:12" ht="27.6">
      <c r="A26" s="3" t="s">
        <v>74</v>
      </c>
      <c r="B26" s="3">
        <v>1.4275510204081634</v>
      </c>
      <c r="C26" s="3">
        <v>-1</v>
      </c>
      <c r="D26" s="3">
        <v>1</v>
      </c>
      <c r="E26" s="3">
        <v>1</v>
      </c>
      <c r="F26" s="3">
        <v>1</v>
      </c>
      <c r="G26" s="3">
        <v>1.3275510204081633</v>
      </c>
      <c r="H26" s="3">
        <v>1.4275510204081634</v>
      </c>
      <c r="I26" s="3">
        <v>0</v>
      </c>
      <c r="J26" s="3">
        <v>1</v>
      </c>
      <c r="K26" s="3">
        <v>0</v>
      </c>
      <c r="L26" s="3" t="s">
        <v>75</v>
      </c>
    </row>
    <row r="27" spans="1:12">
      <c r="A27" s="3" t="s">
        <v>76</v>
      </c>
      <c r="B27" s="3">
        <v>12</v>
      </c>
      <c r="C27" s="3">
        <v>-3</v>
      </c>
      <c r="D27" s="3">
        <v>1</v>
      </c>
      <c r="E27" s="3">
        <v>1</v>
      </c>
      <c r="F27" s="3">
        <v>3</v>
      </c>
      <c r="G27" s="3">
        <v>4.7479591836734691</v>
      </c>
      <c r="H27" s="3">
        <v>4</v>
      </c>
      <c r="I27" s="3">
        <v>0</v>
      </c>
      <c r="J27" s="3">
        <v>1</v>
      </c>
      <c r="K27" s="3">
        <v>0</v>
      </c>
      <c r="L27" s="3" t="s">
        <v>77</v>
      </c>
    </row>
    <row r="28" spans="1:12">
      <c r="A28" s="3" t="s">
        <v>78</v>
      </c>
      <c r="B28" s="3">
        <v>12.03</v>
      </c>
      <c r="C28" s="3">
        <v>-3</v>
      </c>
      <c r="D28" s="3">
        <v>1</v>
      </c>
      <c r="E28" s="3">
        <v>1</v>
      </c>
      <c r="F28" s="3">
        <v>3</v>
      </c>
      <c r="G28" s="3">
        <v>4.7479591836734691</v>
      </c>
      <c r="H28" s="3">
        <v>4.01</v>
      </c>
      <c r="I28" s="3">
        <v>1</v>
      </c>
      <c r="J28" s="3">
        <v>0</v>
      </c>
      <c r="K28" s="3">
        <v>0</v>
      </c>
      <c r="L28" s="3" t="s">
        <v>79</v>
      </c>
    </row>
    <row r="29" spans="1:12">
      <c r="A29" s="3" t="s">
        <v>80</v>
      </c>
      <c r="B29" s="3">
        <v>17.763265306122449</v>
      </c>
      <c r="C29" s="3">
        <v>-8</v>
      </c>
      <c r="D29" s="3">
        <v>1</v>
      </c>
      <c r="E29" s="3">
        <v>1</v>
      </c>
      <c r="F29" s="3">
        <v>8</v>
      </c>
      <c r="G29" s="3">
        <v>17.763265306122449</v>
      </c>
      <c r="H29" s="3">
        <v>2.2204081632653061</v>
      </c>
      <c r="I29" s="3">
        <v>0</v>
      </c>
      <c r="J29" s="3">
        <v>0</v>
      </c>
      <c r="K29" s="3">
        <v>1</v>
      </c>
      <c r="L29" s="3" t="s">
        <v>81</v>
      </c>
    </row>
    <row r="30" spans="1:12">
      <c r="A30" s="3" t="s">
        <v>82</v>
      </c>
      <c r="B30" s="3">
        <v>40</v>
      </c>
      <c r="C30" s="3">
        <v>-12</v>
      </c>
      <c r="D30" s="3">
        <v>1</v>
      </c>
      <c r="E30" s="3">
        <v>1</v>
      </c>
      <c r="F30" s="3">
        <v>12</v>
      </c>
      <c r="G30" s="3">
        <v>32.767346938775511</v>
      </c>
      <c r="H30" s="3">
        <v>3.3333333333333335</v>
      </c>
      <c r="I30" s="3">
        <v>0</v>
      </c>
      <c r="J30" s="3">
        <v>1</v>
      </c>
      <c r="K30" s="3">
        <v>0</v>
      </c>
      <c r="L30" s="3" t="s">
        <v>83</v>
      </c>
    </row>
    <row r="31" spans="1:12" ht="27.6">
      <c r="A31" s="3" t="s">
        <v>84</v>
      </c>
      <c r="B31" s="3">
        <v>110</v>
      </c>
      <c r="C31" s="3">
        <v>-25</v>
      </c>
      <c r="D31" s="3">
        <v>1</v>
      </c>
      <c r="E31" s="3">
        <v>1</v>
      </c>
      <c r="F31" s="3">
        <v>25</v>
      </c>
      <c r="G31" s="3">
        <v>109.71938775510205</v>
      </c>
      <c r="H31" s="3">
        <v>4.4000000000000004</v>
      </c>
      <c r="I31" s="3">
        <v>1</v>
      </c>
      <c r="J31" s="3">
        <v>0</v>
      </c>
      <c r="K31" s="3">
        <v>0</v>
      </c>
      <c r="L31" s="3" t="s">
        <v>85</v>
      </c>
    </row>
  </sheetData>
  <conditionalFormatting sqref="I2:I21">
    <cfRule type="expression" dxfId="2" priority="1">
      <formula>I2=1</formula>
    </cfRule>
  </conditionalFormatting>
  <conditionalFormatting sqref="J2:J21">
    <cfRule type="expression" dxfId="1" priority="2">
      <formula>J2=1</formula>
    </cfRule>
  </conditionalFormatting>
  <conditionalFormatting sqref="K2:K21">
    <cfRule type="expression" dxfId="0" priority="3">
      <formula>K2=1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796875" defaultRowHeight="13.8"/>
  <cols>
    <col min="1" max="1" width="18" customWidth="1"/>
    <col min="2" max="2" width="85" customWidth="1"/>
  </cols>
  <sheetData>
    <row r="1" spans="1:2">
      <c r="A1" s="1" t="s">
        <v>50</v>
      </c>
      <c r="B1" s="1" t="s">
        <v>51</v>
      </c>
    </row>
    <row r="2" spans="1:2">
      <c r="A2" s="3" t="s">
        <v>52</v>
      </c>
      <c r="B2" s="3" t="s">
        <v>53</v>
      </c>
    </row>
    <row r="3" spans="1:2">
      <c r="A3" s="3" t="s">
        <v>54</v>
      </c>
      <c r="B3" s="3" t="s">
        <v>55</v>
      </c>
    </row>
    <row r="4" spans="1:2">
      <c r="A4" s="3" t="s">
        <v>56</v>
      </c>
      <c r="B4" s="3" t="s">
        <v>57</v>
      </c>
    </row>
    <row r="5" spans="1:2">
      <c r="A5" s="3" t="s">
        <v>58</v>
      </c>
      <c r="B5" s="3" t="s">
        <v>59</v>
      </c>
    </row>
    <row r="6" spans="1:2">
      <c r="A6" s="3" t="s">
        <v>60</v>
      </c>
      <c r="B6" s="3" t="s">
        <v>61</v>
      </c>
    </row>
    <row r="7" spans="1:2">
      <c r="A7" s="3" t="s">
        <v>62</v>
      </c>
      <c r="B7" s="3" t="s">
        <v>63</v>
      </c>
    </row>
    <row r="8" spans="1:2">
      <c r="A8" s="3" t="s">
        <v>64</v>
      </c>
      <c r="B8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FCW_TestCases</vt:lpstr>
      <vt:lpstr>FCW_Requirements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Moutaoikil Mohamed</cp:lastModifiedBy>
  <dcterms:modified xsi:type="dcterms:W3CDTF">2026-08-25T18:50:04Z</dcterms:modified>
</cp:coreProperties>
</file>