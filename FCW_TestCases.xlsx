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23ad30d36d46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CW_TestCases" sheetId="1" r:id="R8b1c09a08c2a420f"/>
    <x:sheet xmlns:r="http://schemas.openxmlformats.org/officeDocument/2006/relationships" name="FCW_Requirements" sheetId="2" r:id="Rbf9bcac9e64b4bab"/>
  </x:sheets>
</x:workbook>
</file>

<file path=xl/sharedStrings.xml><?xml version="1.0" encoding="utf-8"?>
<x:sst xmlns:x="http://schemas.openxmlformats.org/spreadsheetml/2006/main">
  <x:si>
    <x:t xml:space="preserve">TestID</x:t>
  </x:si>
  <x:si>
    <x:t xml:space="preserve">DistanceRelative_m</x:t>
  </x:si>
  <x:si>
    <x:t xml:space="preserve">VitesseRelative_mps</x:t>
  </x:si>
  <x:si>
    <x:t xml:space="preserve">TargetPresent</x:t>
  </x:si>
  <x:si>
    <x:t xml:space="preserve">TargetInLane</x:t>
  </x:si>
  <x:si>
    <x:t xml:space="preserve">ClosingSpeed_mps</x:t>
  </x:si>
  <x:si>
    <x:t xml:space="preserve">DFCW_m</x:t>
  </x:si>
  <x:si>
    <x:t xml:space="preserve">TTC_s</x:t>
  </x:si>
  <x:si>
    <x:t xml:space="preserve">Expected_SAFE</x:t>
  </x:si>
  <x:si>
    <x:t xml:space="preserve">Expected_YELLOWWARNING</x:t>
  </x:si>
  <x:si>
    <x:t xml:space="preserve">Expected_REDWARNING</x:t>
  </x:si>
  <x:si>
    <x:t xml:space="preserve">TestPurpose</x:t>
  </x:si>
  <x:si>
    <x:t xml:space="preserve">FCW_001</x:t>
  </x:si>
  <x:si>
    <x:t xml:space="preserve">Target absent</x:t>
  </x:si>
  <x:si>
    <x:t xml:space="preserve">FCW_002</x:t>
  </x:si>
  <x:si>
    <x:t xml:space="preserve">Target outside lane</x:t>
  </x:si>
  <x:si>
    <x:t xml:space="preserve">FCW_003</x:t>
  </x:si>
  <x:si>
    <x:t xml:space="preserve">Zero relative speed</x:t>
  </x:si>
  <x:si>
    <x:t xml:space="preserve">FCW_004</x:t>
  </x:si>
  <x:si>
    <x:t xml:space="preserve">Target moving away</x:t>
  </x:si>
  <x:si>
    <x:t xml:space="preserve">FCW_005</x:t>
  </x:si>
  <x:si>
    <x:t xml:space="preserve">Far target, low closing speed</x:t>
  </x:si>
  <x:si>
    <x:t xml:space="preserve">FCW_006</x:t>
  </x:si>
  <x:si>
    <x:t xml:space="preserve">TTC exactly 4 s boundary</x:t>
  </x:si>
  <x:si>
    <x:t xml:space="preserve">FCW_007</x:t>
  </x:si>
  <x:si>
    <x:t xml:space="preserve">TTC just above 4 s</x:t>
  </x:si>
  <x:si>
    <x:t xml:space="preserve">FCW_008</x:t>
  </x:si>
  <x:si>
    <x:t xml:space="preserve">Distance = DFCW boundary → RED</x:t>
  </x:si>
  <x:si>
    <x:t xml:space="preserve">FCW_009</x:t>
  </x:si>
  <x:si>
    <x:t xml:space="preserve">Below DFCW, RED</x:t>
  </x:si>
  <x:si>
    <x:t xml:space="preserve">FCW_010</x:t>
  </x:si>
  <x:si>
    <x:t xml:space="preserve">Above DFCW but TTC &lt;= 4</x:t>
  </x:si>
  <x:si>
    <x:t xml:space="preserve">FCW_011</x:t>
  </x:si>
  <x:si>
    <x:t xml:space="preserve">FCW_012</x:t>
  </x:si>
  <x:si>
    <x:t xml:space="preserve">Just above DFCW, YELLOW</x:t>
  </x:si>
  <x:si>
    <x:t xml:space="preserve">FCW_013</x:t>
  </x:si>
  <x:si>
    <x:t xml:space="preserve">TTC exactly 4 s at 10 m/s</x:t>
  </x:si>
  <x:si>
    <x:t xml:space="preserve">FCW_014</x:t>
  </x:si>
  <x:si>
    <x:t xml:space="preserve">Just above TTC 4 s, SAFE</x:t>
  </x:si>
  <x:si>
    <x:t xml:space="preserve">FCW_015</x:t>
  </x:si>
  <x:si>
    <x:t xml:space="preserve">FCW_016</x:t>
  </x:si>
  <x:si>
    <x:t xml:space="preserve">Above DFCW, TTC below 4 s</x:t>
  </x:si>
  <x:si>
    <x:t xml:space="preserve">FCW_017</x:t>
  </x:si>
  <x:si>
    <x:t xml:space="preserve">TTC exactly 4 s at 15 m/s</x:t>
  </x:si>
  <x:si>
    <x:t xml:space="preserve">FCW_018</x:t>
  </x:si>
  <x:si>
    <x:t xml:space="preserve">Just above TTC threshold</x:t>
  </x:si>
  <x:si>
    <x:t xml:space="preserve">FCW_019</x:t>
  </x:si>
  <x:si>
    <x:t xml:space="preserve">DFCW boundary at 20 m/s closing</x:t>
  </x:si>
  <x:si>
    <x:t xml:space="preserve">FCW_020</x:t>
  </x:si>
  <x:si>
    <x:t xml:space="preserve">Above DFCW, TTC exactly 4 s</x:t>
  </x:si>
  <x:si>
    <x:t xml:space="preserve">Rule</x:t>
  </x:si>
  <x:si>
    <x:t xml:space="preserve">Definition</x:t>
  </x:si>
  <x:si>
    <x:t xml:space="preserve">REQ-FCW-001</x:t>
  </x:si>
  <x:si>
    <x:t xml:space="preserve">If TargetPresent = 0 OR TargetInLane = 0, output SAFE.</x:t>
  </x:si>
  <x:si>
    <x:t xml:space="preserve">REQ-FCW-002</x:t>
  </x:si>
  <x:si>
    <x:t xml:space="preserve">ClosingSpeed = max(-VitesseRelative, 0).</x:t>
  </x:si>
  <x:si>
    <x:t xml:space="preserve">REQ-FCW-003</x:t>
  </x:si>
  <x:si>
    <x:t xml:space="preserve">DFCW = 1.2 × ClosingSpeed + ClosingSpeed² / 7.84.</x:t>
  </x:si>
  <x:si>
    <x:t xml:space="preserve">REQ-FCW-004</x:t>
  </x:si>
  <x:si>
    <x:t xml:space="preserve">If valid target AND ClosingSpeed &gt; 0 AND DistanceRelative &lt;= DFCW, output REDWARNING.</x:t>
  </x:si>
  <x:si>
    <x:t xml:space="preserve">REQ-FCW-005</x:t>
  </x:si>
  <x:si>
    <x:t xml:space="preserve">Else if valid target AND ClosingSpeed &gt; 0 AND TTC &lt;= 4 s, output YELLOWWARNING.</x:t>
  </x:si>
  <x:si>
    <x:t xml:space="preserve">REQ-FCW-006</x:t>
  </x:si>
  <x:si>
    <x:t xml:space="preserve">Otherwise output SAFE.</x:t>
  </x:si>
  <x:si>
    <x:t xml:space="preserve">REQ-FCW-007</x:t>
  </x:si>
  <x:si>
    <x:t xml:space="preserve">When ClosingSpeed = 0, TTC is not physically applicable; expected warning state remains SAFE.</x:t>
  </x:si>
</x:sst>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1" fillId="2" borderId="0" xfId="0" applyFont="1" applyFill="1" applyAlignment="1">
      <x:alignment horizontal="center" wrapText="1"/>
    </x:xf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center" vertical="center" wrapText="1"/>
    </x:xf>
    <x:xf numFmtId="2" fontId="0" fillId="0" borderId="0" xfId="0" applyNumberFormat="1" applyAlignment="1">
      <x:alignment horizontal="center" vertical="center" wrapText="1"/>
    </x:xf>
    <x:xf numFmtId="1" fontId="0" fillId="0" borderId="0" xfId="0" applyNumberForma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center" vertical="center" wrapText="1"/>
    </x:xf>
    <x:xf numFmtId="1" fontId="0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" fontId="0" fillId="0" borderId="0" xfId="0" applyNumberFormat="1" applyFont="1" applyFill="1" applyBorder="1" applyAlignment="1">
      <x:alignment horizontal="center" vertical="center" wrapText="1"/>
    </x:xf>
    <x:xf numFmtId="1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64b49c4f0c4ef5" /><Relationship Type="http://schemas.openxmlformats.org/officeDocument/2006/relationships/theme" Target="/xl/theme/theme1.xml" Id="R22a06d8e55514e15" /><Relationship Type="http://schemas.openxmlformats.org/officeDocument/2006/relationships/sharedStrings" Target="/xl/sharedStrings.xml" Id="R64016ba8b66646e4" /><Relationship Type="http://schemas.openxmlformats.org/officeDocument/2006/relationships/worksheet" Target="/xl/worksheets/sheet1.xml" Id="R8b1c09a08c2a420f" /><Relationship Type="http://schemas.openxmlformats.org/officeDocument/2006/relationships/worksheet" Target="/xl/worksheets/sheet2.xml" Id="Rbf9bcac9e64b4b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796875" defaultRowHeight="13.800000190734863"/>
  <x:cols>
    <x:col min="1" max="1" width="12" hidden="0" customWidth="1"/>
    <x:col min="2" max="2" width="18" hidden="0" customWidth="1"/>
    <x:col min="3" max="3" width="20" hidden="0" customWidth="1"/>
    <x:col min="4" max="5" width="14" customWidth="1"/>
    <x:col min="6" max="6" width="17" hidden="0" customWidth="1"/>
    <x:col min="7" max="7" width="14" hidden="0" customWidth="1"/>
    <x:col min="8" max="8" width="12" hidden="0" customWidth="1"/>
    <x:col min="9" max="11" width="22" customWidth="1"/>
    <x:col min="12" max="12" width="42" hidden="0" customWidth="1"/>
    <x:col min="4" max="4" width="14" hidden="0" customWidth="1"/>
    <x:col min="5" max="5" width="14" hidden="0" customWidth="1"/>
    <x:col min="9" max="9" width="14" hidden="0" customWidth="1"/>
    <x:col min="10" max="10" width="24" hidden="0" customWidth="1"/>
    <x:col min="11" max="11" width="21" hidden="0" customWidth="1"/>
  </x:cols>
  <x:sheetData>
    <x:row r="1" ht="27.149999618530273" customHeight="1">
      <x:c r="A1" s="16" t="s">
        <x:v>0</x:v>
      </x:c>
      <x:c r="B1" s="16" t="s">
        <x:v>1</x:v>
      </x:c>
      <x:c r="C1" s="16" t="s">
        <x:v>2</x:v>
      </x:c>
      <x:c r="D1" s="16" t="s">
        <x:v>3</x:v>
      </x:c>
      <x:c r="E1" s="16" t="s">
        <x:v>4</x:v>
      </x:c>
      <x:c r="F1" s="16" t="s">
        <x:v>5</x:v>
      </x:c>
      <x:c r="G1" s="16" t="s">
        <x:v>6</x:v>
      </x:c>
      <x:c r="H1" s="16" t="s">
        <x:v>7</x:v>
      </x:c>
      <x:c r="I1" s="16" t="s">
        <x:v>8</x:v>
      </x:c>
      <x:c r="J1" s="16" t="s">
        <x:v>9</x:v>
      </x:c>
      <x:c r="K1" s="16" t="s">
        <x:v>10</x:v>
      </x:c>
      <x:c r="L1" s="16" t="s">
        <x:v>11</x:v>
      </x:c>
    </x:row>
    <x:row r="2">
      <x:c r="A2" s="17" t="s">
        <x:v>12</x:v>
      </x:c>
      <x:c r="B2" s="18">
        <x:v>20</x:v>
      </x:c>
      <x:c r="C2" s="18">
        <x:v>-10</x:v>
      </x:c>
      <x:c r="D2" s="19">
        <x:v>0</x:v>
      </x:c>
      <x:c r="E2" s="19">
        <x:v>0</x:v>
      </x:c>
      <x:c r="F2" s="18" t="n">
        <x:f t="shared" ref="F2:F21" si="0">MAX(-C2,0)</x:f>
        <x:v>10</x:v>
      </x:c>
      <x:c r="G2" s="18" t="n">
        <x:f t="shared" ref="G2:G21" si="1">1.2*F2+(F2^2)/7.84</x:f>
        <x:v>24.755102040816325</x:v>
      </x:c>
      <x:c r="H2" s="18" t="n">
        <x:f t="shared" ref="H2:H21" si="2">IF(F2=0,1E+99,B2/F2)</x:f>
        <x:v>2</x:v>
      </x:c>
      <x:c r="I2" s="19" t="n">
        <x:f t="shared" ref="I2:I21" si="3">IF(AND(J2=0,K2=0),1,0)</x:f>
        <x:v>1</x:v>
      </x:c>
      <x:c r="J2" s="19" t="n">
        <x:f t="shared" ref="J2:J21" si="4">IF(AND(D2=1,E2=1,F2&gt;0,B2&gt;G2,H2&lt;=4),1,0)</x:f>
        <x:v>0</x:v>
      </x:c>
      <x:c r="K2" s="19" t="n">
        <x:f t="shared" ref="K2:K21" si="5">IF(AND(D2=1,E2=1,F2&gt;0,B2&lt;=G2),1,0)</x:f>
        <x:v>0</x:v>
      </x:c>
      <x:c r="L2" s="20" t="s">
        <x:v>13</x:v>
      </x:c>
    </x:row>
    <x:row r="3">
      <x:c r="A3" s="17" t="s">
        <x:v>14</x:v>
      </x:c>
      <x:c r="B3" s="18">
        <x:v>20</x:v>
      </x:c>
      <x:c r="C3" s="18">
        <x:v>-10</x:v>
      </x:c>
      <x:c r="D3" s="19">
        <x:v>1</x:v>
      </x:c>
      <x:c r="E3" s="19">
        <x:v>0</x:v>
      </x:c>
      <x:c r="F3" s="18">
        <x:f t="shared" si="0"/>
        <x:v>10</x:v>
      </x:c>
      <x:c r="G3" s="18">
        <x:f t="shared" si="1"/>
        <x:v>24.755102040816325</x:v>
      </x:c>
      <x:c r="H3" s="18">
        <x:f t="shared" si="2"/>
        <x:v>2</x:v>
      </x:c>
      <x:c r="I3" s="19">
        <x:f t="shared" si="3"/>
        <x:v>1</x:v>
      </x:c>
      <x:c r="J3" s="19">
        <x:f t="shared" si="4"/>
        <x:v>0</x:v>
      </x:c>
      <x:c r="K3" s="19">
        <x:f t="shared" si="5"/>
        <x:v>0</x:v>
      </x:c>
      <x:c r="L3" s="20" t="s">
        <x:v>15</x:v>
      </x:c>
    </x:row>
    <x:row r="4">
      <x:c r="A4" s="17" t="s">
        <x:v>16</x:v>
      </x:c>
      <x:c r="B4" s="18">
        <x:v>20</x:v>
      </x:c>
      <x:c r="C4" s="18">
        <x:v>0</x:v>
      </x:c>
      <x:c r="D4" s="19">
        <x:v>1</x:v>
      </x:c>
      <x:c r="E4" s="19">
        <x:v>1</x:v>
      </x:c>
      <x:c r="F4" s="18">
        <x:f t="shared" si="0"/>
        <x:v>0</x:v>
      </x:c>
      <x:c r="G4" s="18">
        <x:f t="shared" si="1"/>
        <x:v>0</x:v>
      </x:c>
      <x:c r="H4" s="18">
        <x:v>99999</x:v>
      </x:c>
      <x:c r="I4" s="19">
        <x:f t="shared" si="3"/>
        <x:v>1</x:v>
      </x:c>
      <x:c r="J4" s="19">
        <x:f t="shared" si="4"/>
        <x:v>0</x:v>
      </x:c>
      <x:c r="K4" s="19">
        <x:f t="shared" si="5"/>
        <x:v>0</x:v>
      </x:c>
      <x:c r="L4" s="20" t="s">
        <x:v>17</x:v>
      </x:c>
    </x:row>
    <x:row r="5">
      <x:c r="A5" s="17" t="s">
        <x:v>18</x:v>
      </x:c>
      <x:c r="B5" s="18">
        <x:v>20</x:v>
      </x:c>
      <x:c r="C5" s="18">
        <x:v>5</x:v>
      </x:c>
      <x:c r="D5" s="19">
        <x:v>1</x:v>
      </x:c>
      <x:c r="E5" s="19">
        <x:v>1</x:v>
      </x:c>
      <x:c r="F5" s="18">
        <x:f t="shared" si="0"/>
        <x:v>0</x:v>
      </x:c>
      <x:c r="G5" s="18">
        <x:f t="shared" si="1"/>
        <x:v>0</x:v>
      </x:c>
      <x:c r="H5" s="18">
        <x:v>99999</x:v>
      </x:c>
      <x:c r="I5" s="19">
        <x:f t="shared" si="3"/>
        <x:v>1</x:v>
      </x:c>
      <x:c r="J5" s="19">
        <x:f t="shared" si="4"/>
        <x:v>0</x:v>
      </x:c>
      <x:c r="K5" s="19">
        <x:f t="shared" si="5"/>
        <x:v>0</x:v>
      </x:c>
      <x:c r="L5" s="20" t="s">
        <x:v>19</x:v>
      </x:c>
    </x:row>
    <x:row r="6">
      <x:c r="A6" s="17" t="s">
        <x:v>20</x:v>
      </x:c>
      <x:c r="B6" s="18">
        <x:v>80</x:v>
      </x:c>
      <x:c r="C6" s="18">
        <x:v>-2</x:v>
      </x:c>
      <x:c r="D6" s="19">
        <x:v>1</x:v>
      </x:c>
      <x:c r="E6" s="19">
        <x:v>1</x:v>
      </x:c>
      <x:c r="F6" s="18">
        <x:f t="shared" si="0"/>
        <x:v>2</x:v>
      </x:c>
      <x:c r="G6" s="18">
        <x:f t="shared" si="1"/>
        <x:v>2.9102040816326529</x:v>
      </x:c>
      <x:c r="H6" s="18">
        <x:f t="shared" si="2"/>
        <x:v>40</x:v>
      </x:c>
      <x:c r="I6" s="19">
        <x:f t="shared" si="3"/>
        <x:v>1</x:v>
      </x:c>
      <x:c r="J6" s="19">
        <x:f t="shared" si="4"/>
        <x:v>0</x:v>
      </x:c>
      <x:c r="K6" s="19">
        <x:f t="shared" si="5"/>
        <x:v>0</x:v>
      </x:c>
      <x:c r="L6" s="20" t="s">
        <x:v>21</x:v>
      </x:c>
    </x:row>
    <x:row r="7">
      <x:c r="A7" s="17" t="s">
        <x:v>22</x:v>
      </x:c>
      <x:c r="B7" s="18">
        <x:v>20</x:v>
      </x:c>
      <x:c r="C7" s="18">
        <x:v>-5</x:v>
      </x:c>
      <x:c r="D7" s="19">
        <x:v>1</x:v>
      </x:c>
      <x:c r="E7" s="19">
        <x:v>1</x:v>
      </x:c>
      <x:c r="F7" s="18">
        <x:f t="shared" si="0"/>
        <x:v>5</x:v>
      </x:c>
      <x:c r="G7" s="18">
        <x:f t="shared" si="1"/>
        <x:v>9.1887755102040813</x:v>
      </x:c>
      <x:c r="H7" s="18">
        <x:f t="shared" si="2"/>
        <x:v>4</x:v>
      </x:c>
      <x:c r="I7" s="19">
        <x:f t="shared" si="3"/>
        <x:v>0</x:v>
      </x:c>
      <x:c r="J7" s="19">
        <x:f t="shared" si="4"/>
        <x:v>1</x:v>
      </x:c>
      <x:c r="K7" s="19">
        <x:f t="shared" si="5"/>
        <x:v>0</x:v>
      </x:c>
      <x:c r="L7" s="20" t="s">
        <x:v>23</x:v>
      </x:c>
    </x:row>
    <x:row r="8">
      <x:c r="A8" s="17" t="s">
        <x:v>24</x:v>
      </x:c>
      <x:c r="B8" s="18">
        <x:v>20.5</x:v>
      </x:c>
      <x:c r="C8" s="18">
        <x:v>-5</x:v>
      </x:c>
      <x:c r="D8" s="19">
        <x:v>1</x:v>
      </x:c>
      <x:c r="E8" s="19">
        <x:v>1</x:v>
      </x:c>
      <x:c r="F8" s="18">
        <x:f t="shared" si="0"/>
        <x:v>5</x:v>
      </x:c>
      <x:c r="G8" s="18">
        <x:f t="shared" si="1"/>
        <x:v>9.1887755102040813</x:v>
      </x:c>
      <x:c r="H8" s="18">
        <x:f t="shared" si="2"/>
        <x:v>4.0999999999999996</x:v>
      </x:c>
      <x:c r="I8" s="19">
        <x:f t="shared" si="3"/>
        <x:v>1</x:v>
      </x:c>
      <x:c r="J8" s="19">
        <x:f t="shared" si="4"/>
        <x:v>0</x:v>
      </x:c>
      <x:c r="K8" s="19">
        <x:f t="shared" si="5"/>
        <x:v>0</x:v>
      </x:c>
      <x:c r="L8" s="20" t="s">
        <x:v>25</x:v>
      </x:c>
    </x:row>
    <x:row r="9">
      <x:c r="A9" s="17" t="s">
        <x:v>26</x:v>
      </x:c>
      <x:c r="B9" s="18">
        <x:v>9.1887755102040813</x:v>
      </x:c>
      <x:c r="C9" s="18">
        <x:v>-5</x:v>
      </x:c>
      <x:c r="D9" s="19">
        <x:v>1</x:v>
      </x:c>
      <x:c r="E9" s="19">
        <x:v>1</x:v>
      </x:c>
      <x:c r="F9" s="18">
        <x:f t="shared" si="0"/>
        <x:v>5</x:v>
      </x:c>
      <x:c r="G9" s="18">
        <x:f t="shared" si="1"/>
        <x:v>9.1887755102040813</x:v>
      </x:c>
      <x:c r="H9" s="18">
        <x:f t="shared" si="2"/>
        <x:v>1.8377551020408163</x:v>
      </x:c>
      <x:c r="I9" s="19">
        <x:f t="shared" si="3"/>
        <x:v>0</x:v>
      </x:c>
      <x:c r="J9" s="19">
        <x:f t="shared" si="4"/>
        <x:v>0</x:v>
      </x:c>
      <x:c r="K9" s="19">
        <x:f t="shared" si="5"/>
        <x:v>1</x:v>
      </x:c>
      <x:c r="L9" s="20" t="s">
        <x:v>27</x:v>
      </x:c>
    </x:row>
    <x:row r="10">
      <x:c r="A10" s="17" t="s">
        <x:v>28</x:v>
      </x:c>
      <x:c r="B10" s="18">
        <x:v>9</x:v>
      </x:c>
      <x:c r="C10" s="18">
        <x:v>-5</x:v>
      </x:c>
      <x:c r="D10" s="19">
        <x:v>1</x:v>
      </x:c>
      <x:c r="E10" s="19">
        <x:v>1</x:v>
      </x:c>
      <x:c r="F10" s="18">
        <x:f t="shared" si="0"/>
        <x:v>5</x:v>
      </x:c>
      <x:c r="G10" s="18">
        <x:f t="shared" si="1"/>
        <x:v>9.1887755102040813</x:v>
      </x:c>
      <x:c r="H10" s="18">
        <x:f t="shared" si="2"/>
        <x:v>1.8</x:v>
      </x:c>
      <x:c r="I10" s="19">
        <x:f t="shared" si="3"/>
        <x:v>0</x:v>
      </x:c>
      <x:c r="J10" s="19">
        <x:f t="shared" si="4"/>
        <x:v>0</x:v>
      </x:c>
      <x:c r="K10" s="19">
        <x:f t="shared" si="5"/>
        <x:v>1</x:v>
      </x:c>
      <x:c r="L10" s="20" t="s">
        <x:v>29</x:v>
      </x:c>
    </x:row>
    <x:row r="11">
      <x:c r="A11" s="17" t="s">
        <x:v>30</x:v>
      </x:c>
      <x:c r="B11" s="18">
        <x:v>10</x:v>
      </x:c>
      <x:c r="C11" s="18">
        <x:v>-5</x:v>
      </x:c>
      <x:c r="D11" s="19">
        <x:v>1</x:v>
      </x:c>
      <x:c r="E11" s="19">
        <x:v>1</x:v>
      </x:c>
      <x:c r="F11" s="18">
        <x:f t="shared" si="0"/>
        <x:v>5</x:v>
      </x:c>
      <x:c r="G11" s="18">
        <x:f t="shared" si="1"/>
        <x:v>9.1887755102040813</x:v>
      </x:c>
      <x:c r="H11" s="18">
        <x:f t="shared" si="2"/>
        <x:v>2</x:v>
      </x:c>
      <x:c r="I11" s="19">
        <x:f t="shared" si="3"/>
        <x:v>0</x:v>
      </x:c>
      <x:c r="J11" s="19">
        <x:f t="shared" si="4"/>
        <x:v>1</x:v>
      </x:c>
      <x:c r="K11" s="19">
        <x:f t="shared" si="5"/>
        <x:v>0</x:v>
      </x:c>
      <x:c r="L11" s="20" t="s">
        <x:v>31</x:v>
      </x:c>
    </x:row>
    <x:row r="12">
      <x:c r="A12" s="17" t="s">
        <x:v>32</x:v>
      </x:c>
      <x:c r="B12" s="18">
        <x:v>24.755102040816325</x:v>
      </x:c>
      <x:c r="C12" s="18">
        <x:v>-10</x:v>
      </x:c>
      <x:c r="D12" s="19">
        <x:v>1</x:v>
      </x:c>
      <x:c r="E12" s="19">
        <x:v>1</x:v>
      </x:c>
      <x:c r="F12" s="18">
        <x:f t="shared" si="0"/>
        <x:v>10</x:v>
      </x:c>
      <x:c r="G12" s="18">
        <x:f t="shared" si="1"/>
        <x:v>24.755102040816325</x:v>
      </x:c>
      <x:c r="H12" s="18">
        <x:f t="shared" si="2"/>
        <x:v>2.4755102040816324</x:v>
      </x:c>
      <x:c r="I12" s="19">
        <x:f t="shared" si="3"/>
        <x:v>0</x:v>
      </x:c>
      <x:c r="J12" s="19">
        <x:f t="shared" si="4"/>
        <x:v>0</x:v>
      </x:c>
      <x:c r="K12" s="19">
        <x:f t="shared" si="5"/>
        <x:v>1</x:v>
      </x:c>
      <x:c r="L12" s="20" t="s">
        <x:v>27</x:v>
      </x:c>
    </x:row>
    <x:row r="13">
      <x:c r="A13" s="17" t="s">
        <x:v>33</x:v>
      </x:c>
      <x:c r="B13" s="18">
        <x:v>25</x:v>
      </x:c>
      <x:c r="C13" s="18">
        <x:v>-10</x:v>
      </x:c>
      <x:c r="D13" s="19">
        <x:v>1</x:v>
      </x:c>
      <x:c r="E13" s="19">
        <x:v>1</x:v>
      </x:c>
      <x:c r="F13" s="18">
        <x:f t="shared" si="0"/>
        <x:v>10</x:v>
      </x:c>
      <x:c r="G13" s="18">
        <x:f t="shared" si="1"/>
        <x:v>24.755102040816325</x:v>
      </x:c>
      <x:c r="H13" s="18">
        <x:f t="shared" si="2"/>
        <x:v>2.5</x:v>
      </x:c>
      <x:c r="I13" s="19">
        <x:f t="shared" si="3"/>
        <x:v>0</x:v>
      </x:c>
      <x:c r="J13" s="19">
        <x:f t="shared" si="4"/>
        <x:v>1</x:v>
      </x:c>
      <x:c r="K13" s="19">
        <x:f t="shared" si="5"/>
        <x:v>0</x:v>
      </x:c>
      <x:c r="L13" s="20" t="s">
        <x:v>34</x:v>
      </x:c>
    </x:row>
    <x:row r="14">
      <x:c r="A14" s="17" t="s">
        <x:v>35</x:v>
      </x:c>
      <x:c r="B14" s="18">
        <x:v>40</x:v>
      </x:c>
      <x:c r="C14" s="18">
        <x:v>-10</x:v>
      </x:c>
      <x:c r="D14" s="19">
        <x:v>1</x:v>
      </x:c>
      <x:c r="E14" s="19">
        <x:v>1</x:v>
      </x:c>
      <x:c r="F14" s="18">
        <x:f t="shared" si="0"/>
        <x:v>10</x:v>
      </x:c>
      <x:c r="G14" s="18">
        <x:f t="shared" si="1"/>
        <x:v>24.755102040816325</x:v>
      </x:c>
      <x:c r="H14" s="18">
        <x:f t="shared" si="2"/>
        <x:v>4</x:v>
      </x:c>
      <x:c r="I14" s="19">
        <x:f t="shared" si="3"/>
        <x:v>0</x:v>
      </x:c>
      <x:c r="J14" s="19">
        <x:f t="shared" si="4"/>
        <x:v>1</x:v>
      </x:c>
      <x:c r="K14" s="19">
        <x:f t="shared" si="5"/>
        <x:v>0</x:v>
      </x:c>
      <x:c r="L14" s="20" t="s">
        <x:v>36</x:v>
      </x:c>
    </x:row>
    <x:row r="15">
      <x:c r="A15" s="17" t="s">
        <x:v>37</x:v>
      </x:c>
      <x:c r="B15" s="18">
        <x:v>40.1</x:v>
      </x:c>
      <x:c r="C15" s="18">
        <x:v>-10</x:v>
      </x:c>
      <x:c r="D15" s="19">
        <x:v>1</x:v>
      </x:c>
      <x:c r="E15" s="19">
        <x:v>1</x:v>
      </x:c>
      <x:c r="F15" s="18">
        <x:f t="shared" si="0"/>
        <x:v>10</x:v>
      </x:c>
      <x:c r="G15" s="18">
        <x:f t="shared" si="1"/>
        <x:v>24.755102040816325</x:v>
      </x:c>
      <x:c r="H15" s="18">
        <x:f t="shared" si="2"/>
        <x:v>4.01</x:v>
      </x:c>
      <x:c r="I15" s="19">
        <x:f t="shared" si="3"/>
        <x:v>1</x:v>
      </x:c>
      <x:c r="J15" s="19">
        <x:f t="shared" si="4"/>
        <x:v>0</x:v>
      </x:c>
      <x:c r="K15" s="19">
        <x:f t="shared" si="5"/>
        <x:v>0</x:v>
      </x:c>
      <x:c r="L15" s="20" t="s">
        <x:v>38</x:v>
      </x:c>
    </x:row>
    <x:row r="16">
      <x:c r="A16" s="17" t="s">
        <x:v>39</x:v>
      </x:c>
      <x:c r="B16" s="18">
        <x:v>46.698979591836732</x:v>
      </x:c>
      <x:c r="C16" s="18">
        <x:v>-15</x:v>
      </x:c>
      <x:c r="D16" s="19">
        <x:v>1</x:v>
      </x:c>
      <x:c r="E16" s="19">
        <x:v>1</x:v>
      </x:c>
      <x:c r="F16" s="18">
        <x:f t="shared" si="0"/>
        <x:v>15</x:v>
      </x:c>
      <x:c r="G16" s="18">
        <x:f t="shared" si="1"/>
        <x:v>46.698979591836732</x:v>
      </x:c>
      <x:c r="H16" s="18">
        <x:f t="shared" si="2"/>
        <x:v>3.1132653061224489</x:v>
      </x:c>
      <x:c r="I16" s="19">
        <x:f t="shared" si="3"/>
        <x:v>0</x:v>
      </x:c>
      <x:c r="J16" s="19">
        <x:f t="shared" si="4"/>
        <x:v>0</x:v>
      </x:c>
      <x:c r="K16" s="19">
        <x:f t="shared" si="5"/>
        <x:v>1</x:v>
      </x:c>
      <x:c r="L16" s="20" t="s">
        <x:v>27</x:v>
      </x:c>
    </x:row>
    <x:row r="17">
      <x:c r="A17" s="17" t="s">
        <x:v>40</x:v>
      </x:c>
      <x:c r="B17" s="18">
        <x:v>50</x:v>
      </x:c>
      <x:c r="C17" s="18">
        <x:v>-15</x:v>
      </x:c>
      <x:c r="D17" s="19">
        <x:v>1</x:v>
      </x:c>
      <x:c r="E17" s="19">
        <x:v>1</x:v>
      </x:c>
      <x:c r="F17" s="18">
        <x:f t="shared" si="0"/>
        <x:v>15</x:v>
      </x:c>
      <x:c r="G17" s="18">
        <x:f t="shared" si="1"/>
        <x:v>46.698979591836732</x:v>
      </x:c>
      <x:c r="H17" s="18">
        <x:f t="shared" si="2"/>
        <x:v>3.3333333333333335</x:v>
      </x:c>
      <x:c r="I17" s="19">
        <x:f t="shared" si="3"/>
        <x:v>0</x:v>
      </x:c>
      <x:c r="J17" s="19">
        <x:f t="shared" si="4"/>
        <x:v>1</x:v>
      </x:c>
      <x:c r="K17" s="19">
        <x:f t="shared" si="5"/>
        <x:v>0</x:v>
      </x:c>
      <x:c r="L17" s="20" t="s">
        <x:v>41</x:v>
      </x:c>
    </x:row>
    <x:row r="18">
      <x:c r="A18" s="17" t="s">
        <x:v>42</x:v>
      </x:c>
      <x:c r="B18" s="18">
        <x:v>60</x:v>
      </x:c>
      <x:c r="C18" s="18">
        <x:v>-15</x:v>
      </x:c>
      <x:c r="D18" s="19">
        <x:v>1</x:v>
      </x:c>
      <x:c r="E18" s="19">
        <x:v>1</x:v>
      </x:c>
      <x:c r="F18" s="18">
        <x:f t="shared" si="0"/>
        <x:v>15</x:v>
      </x:c>
      <x:c r="G18" s="18">
        <x:f t="shared" si="1"/>
        <x:v>46.698979591836732</x:v>
      </x:c>
      <x:c r="H18" s="18">
        <x:f t="shared" si="2"/>
        <x:v>4</x:v>
      </x:c>
      <x:c r="I18" s="19">
        <x:f t="shared" si="3"/>
        <x:v>0</x:v>
      </x:c>
      <x:c r="J18" s="19">
        <x:f t="shared" si="4"/>
        <x:v>1</x:v>
      </x:c>
      <x:c r="K18" s="19">
        <x:f t="shared" si="5"/>
        <x:v>0</x:v>
      </x:c>
      <x:c r="L18" s="20" t="s">
        <x:v>43</x:v>
      </x:c>
    </x:row>
    <x:row r="19">
      <x:c r="A19" s="17" t="s">
        <x:v>44</x:v>
      </x:c>
      <x:c r="B19" s="18">
        <x:v>60.1</x:v>
      </x:c>
      <x:c r="C19" s="18">
        <x:v>-15</x:v>
      </x:c>
      <x:c r="D19" s="19">
        <x:v>1</x:v>
      </x:c>
      <x:c r="E19" s="19">
        <x:v>1</x:v>
      </x:c>
      <x:c r="F19" s="18">
        <x:f t="shared" si="0"/>
        <x:v>15</x:v>
      </x:c>
      <x:c r="G19" s="18">
        <x:f t="shared" si="1"/>
        <x:v>46.698979591836732</x:v>
      </x:c>
      <x:c r="H19" s="18">
        <x:f t="shared" si="2"/>
        <x:v>4.0066666666666668</x:v>
      </x:c>
      <x:c r="I19" s="19">
        <x:f t="shared" si="3"/>
        <x:v>1</x:v>
      </x:c>
      <x:c r="J19" s="19">
        <x:f t="shared" si="4"/>
        <x:v>0</x:v>
      </x:c>
      <x:c r="K19" s="19">
        <x:f t="shared" si="5"/>
        <x:v>0</x:v>
      </x:c>
      <x:c r="L19" s="20" t="s">
        <x:v>45</x:v>
      </x:c>
    </x:row>
    <x:row r="20">
      <x:c r="A20" s="17" t="s">
        <x:v>46</x:v>
      </x:c>
      <x:c r="B20" s="18">
        <x:v>75.02</x:v>
      </x:c>
      <x:c r="C20" s="18">
        <x:v>-20</x:v>
      </x:c>
      <x:c r="D20" s="19">
        <x:v>1</x:v>
      </x:c>
      <x:c r="E20" s="19">
        <x:v>1</x:v>
      </x:c>
      <x:c r="F20" s="18">
        <x:f t="shared" si="0"/>
        <x:v>20</x:v>
      </x:c>
      <x:c r="G20" s="18">
        <x:f t="shared" si="1"/>
        <x:v>75.020408163265301</x:v>
      </x:c>
      <x:c r="H20" s="18">
        <x:f t="shared" si="2"/>
        <x:v>3.7509999999999999</x:v>
      </x:c>
      <x:c r="I20" s="19">
        <x:f t="shared" si="3"/>
        <x:v>0</x:v>
      </x:c>
      <x:c r="J20" s="19">
        <x:f t="shared" si="4"/>
        <x:v>0</x:v>
      </x:c>
      <x:c r="K20" s="19">
        <x:f t="shared" si="5"/>
        <x:v>1</x:v>
      </x:c>
      <x:c r="L20" s="20" t="s">
        <x:v>47</x:v>
      </x:c>
    </x:row>
    <x:row r="21">
      <x:c r="A21" s="17" t="s">
        <x:v>48</x:v>
      </x:c>
      <x:c r="B21" s="18">
        <x:v>80</x:v>
      </x:c>
      <x:c r="C21" s="18">
        <x:v>-20</x:v>
      </x:c>
      <x:c r="D21" s="19">
        <x:v>1</x:v>
      </x:c>
      <x:c r="E21" s="19">
        <x:v>1</x:v>
      </x:c>
      <x:c r="F21" s="18">
        <x:f t="shared" si="0"/>
        <x:v>20</x:v>
      </x:c>
      <x:c r="G21" s="18">
        <x:f t="shared" si="1"/>
        <x:v>75.020408163265301</x:v>
      </x:c>
      <x:c r="H21" s="18">
        <x:f t="shared" si="2"/>
        <x:v>4</x:v>
      </x:c>
      <x:c r="I21" s="19">
        <x:f t="shared" si="3"/>
        <x:v>0</x:v>
      </x:c>
      <x:c r="J21" s="19">
        <x:f t="shared" si="4"/>
        <x:v>1</x:v>
      </x:c>
      <x:c r="K21" s="19">
        <x:f t="shared" si="5"/>
        <x:v>0</x:v>
      </x:c>
      <x:c r="L21" s="20" t="s">
        <x:v>49</x:v>
      </x:c>
    </x:row>
    <x:row r="22">
      <x:c r="A22" s="21" t="str">
        <x:v>FCW_021</x:v>
      </x:c>
      <x:c r="B22" s="21" t="n">
        <x:v>5</x:v>
      </x:c>
      <x:c r="C22" s="21" t="n">
        <x:v>-20</x:v>
      </x:c>
      <x:c r="D22" s="21" t="n">
        <x:v>0</x:v>
      </x:c>
      <x:c r="E22" s="21" t="n">
        <x:v>1</x:v>
      </x:c>
      <x:c r="F22" s="21" t="n">
        <x:v>20</x:v>
      </x:c>
      <x:c r="G22" s="21" t="n">
        <x:v>75.0204081632653</x:v>
      </x:c>
      <x:c r="H22" s="21" t="n">
        <x:v>0.25</x:v>
      </x:c>
      <x:c r="I22" s="21" t="n">
        <x:v>1</x:v>
      </x:c>
      <x:c r="J22" s="21" t="n">
        <x:v>0</x:v>
      </x:c>
      <x:c r="K22" s="21" t="n">
        <x:v>0</x:v>
      </x:c>
      <x:c r="L22" s="21" t="str">
        <x:v>Target absent despite short distance and high closing speed</x:v>
      </x:c>
    </x:row>
    <x:row r="23">
      <x:c r="A23" s="21" t="str">
        <x:v>FCW_022</x:v>
      </x:c>
      <x:c r="B23" s="21" t="n">
        <x:v>5</x:v>
      </x:c>
      <x:c r="C23" s="21" t="n">
        <x:v>-20</x:v>
      </x:c>
      <x:c r="D23" s="21" t="n">
        <x:v>1</x:v>
      </x:c>
      <x:c r="E23" s="21" t="n">
        <x:v>0</x:v>
      </x:c>
      <x:c r="F23" s="21" t="n">
        <x:v>20</x:v>
      </x:c>
      <x:c r="G23" s="21" t="n">
        <x:v>75.0204081632653</x:v>
      </x:c>
      <x:c r="H23" s="21" t="n">
        <x:v>0.25</x:v>
      </x:c>
      <x:c r="I23" s="21" t="n">
        <x:v>1</x:v>
      </x:c>
      <x:c r="J23" s="21" t="n">
        <x:v>0</x:v>
      </x:c>
      <x:c r="K23" s="21" t="n">
        <x:v>0</x:v>
      </x:c>
      <x:c r="L23" s="21" t="str">
        <x:v>Target outside lane despite short distance and high closing speed</x:v>
      </x:c>
    </x:row>
    <x:row r="24">
      <x:c r="A24" s="21" t="str">
        <x:v>FCW_023</x:v>
      </x:c>
      <x:c r="B24" s="21" t="n">
        <x:v>5</x:v>
      </x:c>
      <x:c r="C24" s="21" t="n">
        <x:v>0.1</x:v>
      </x:c>
      <x:c r="D24" s="21" t="n">
        <x:v>1</x:v>
      </x:c>
      <x:c r="E24" s="21" t="n">
        <x:v>1</x:v>
      </x:c>
      <x:c r="F24" s="21" t="n">
        <x:v>0</x:v>
      </x:c>
      <x:c r="G24" s="21" t="n">
        <x:v>0</x:v>
      </x:c>
      <x:c r="H24" s="21" t="n">
        <x:v>99999</x:v>
      </x:c>
      <x:c r="I24" s="21" t="n">
        <x:v>1</x:v>
      </x:c>
      <x:c r="J24" s="21" t="n">
        <x:v>0</x:v>
      </x:c>
      <x:c r="K24" s="21" t="n">
        <x:v>0</x:v>
      </x:c>
      <x:c r="L24" s="21" t="str">
        <x:v>Small positive relative speed; target moving away</x:v>
      </x:c>
    </x:row>
    <x:row r="25">
      <x:c r="A25" s="21" t="str">
        <x:v>FCW_024</x:v>
      </x:c>
      <x:c r="B25" s="21" t="n">
        <x:v>1.3275510204081633</x:v>
      </x:c>
      <x:c r="C25" s="21" t="n">
        <x:v>-1</x:v>
      </x:c>
      <x:c r="D25" s="21" t="n">
        <x:v>1</x:v>
      </x:c>
      <x:c r="E25" s="21" t="n">
        <x:v>1</x:v>
      </x:c>
      <x:c r="F25" s="21" t="n">
        <x:v>1</x:v>
      </x:c>
      <x:c r="G25" s="21" t="n">
        <x:v>1.3275510204081633</x:v>
      </x:c>
      <x:c r="H25" s="21" t="n">
        <x:v>1.3275510204081633</x:v>
      </x:c>
      <x:c r="I25" s="21" t="n">
        <x:v>0</x:v>
      </x:c>
      <x:c r="J25" s="21" t="n">
        <x:v>0</x:v>
      </x:c>
      <x:c r="K25" s="21" t="n">
        <x:v>1</x:v>
      </x:c>
      <x:c r="L25" s="21" t="str">
        <x:v>DFCW boundary at 1 m/s closing → RED</x:v>
      </x:c>
    </x:row>
    <x:row r="26">
      <x:c r="A26" s="21" t="str">
        <x:v>FCW_025</x:v>
      </x:c>
      <x:c r="B26" s="21" t="n">
        <x:v>1.4275510204081634</x:v>
      </x:c>
      <x:c r="C26" s="21" t="n">
        <x:v>-1</x:v>
      </x:c>
      <x:c r="D26" s="21" t="n">
        <x:v>1</x:v>
      </x:c>
      <x:c r="E26" s="21" t="n">
        <x:v>1</x:v>
      </x:c>
      <x:c r="F26" s="21" t="n">
        <x:v>1</x:v>
      </x:c>
      <x:c r="G26" s="21" t="n">
        <x:v>1.3275510204081633</x:v>
      </x:c>
      <x:c r="H26" s="21" t="n">
        <x:v>1.4275510204081634</x:v>
      </x:c>
      <x:c r="I26" s="21" t="n">
        <x:v>0</x:v>
      </x:c>
      <x:c r="J26" s="21" t="n">
        <x:v>1</x:v>
      </x:c>
      <x:c r="K26" s="21" t="n">
        <x:v>0</x:v>
      </x:c>
      <x:c r="L26" s="21" t="str">
        <x:v>Just above DFCW at 1 m/s; TTC &lt;= 4 → YELLOW</x:v>
      </x:c>
    </x:row>
    <x:row r="27">
      <x:c r="A27" s="21" t="str">
        <x:v>FCW_026</x:v>
      </x:c>
      <x:c r="B27" s="21" t="n">
        <x:v>12</x:v>
      </x:c>
      <x:c r="C27" s="21" t="n">
        <x:v>-3</x:v>
      </x:c>
      <x:c r="D27" s="21" t="n">
        <x:v>1</x:v>
      </x:c>
      <x:c r="E27" s="21" t="n">
        <x:v>1</x:v>
      </x:c>
      <x:c r="F27" s="21" t="n">
        <x:v>3</x:v>
      </x:c>
      <x:c r="G27" s="21" t="n">
        <x:v>4.747959183673469</x:v>
      </x:c>
      <x:c r="H27" s="21" t="n">
        <x:v>4</x:v>
      </x:c>
      <x:c r="I27" s="21" t="n">
        <x:v>0</x:v>
      </x:c>
      <x:c r="J27" s="21" t="n">
        <x:v>1</x:v>
      </x:c>
      <x:c r="K27" s="21" t="n">
        <x:v>0</x:v>
      </x:c>
      <x:c r="L27" s="21" t="str">
        <x:v>TTC exactly 4 s at 3 m/s closing → YELLOW</x:v>
      </x:c>
    </x:row>
    <x:row r="28">
      <x:c r="A28" s="21" t="str">
        <x:v>FCW_027</x:v>
      </x:c>
      <x:c r="B28" s="21" t="n">
        <x:v>12.03</x:v>
      </x:c>
      <x:c r="C28" s="21" t="n">
        <x:v>-3</x:v>
      </x:c>
      <x:c r="D28" s="21" t="n">
        <x:v>1</x:v>
      </x:c>
      <x:c r="E28" s="21" t="n">
        <x:v>1</x:v>
      </x:c>
      <x:c r="F28" s="21" t="n">
        <x:v>3</x:v>
      </x:c>
      <x:c r="G28" s="21" t="n">
        <x:v>4.747959183673469</x:v>
      </x:c>
      <x:c r="H28" s="21" t="n">
        <x:v>4.01</x:v>
      </x:c>
      <x:c r="I28" s="21" t="n">
        <x:v>1</x:v>
      </x:c>
      <x:c r="J28" s="21" t="n">
        <x:v>0</x:v>
      </x:c>
      <x:c r="K28" s="21" t="n">
        <x:v>0</x:v>
      </x:c>
      <x:c r="L28" s="21" t="str">
        <x:v>Just above TTC 4 s at 3 m/s → SAFE</x:v>
      </x:c>
    </x:row>
    <x:row r="29">
      <x:c r="A29" s="21" t="str">
        <x:v>FCW_028</x:v>
      </x:c>
      <x:c r="B29" s="21" t="n">
        <x:v>17.76326530612245</x:v>
      </x:c>
      <x:c r="C29" s="21" t="n">
        <x:v>-8</x:v>
      </x:c>
      <x:c r="D29" s="21" t="n">
        <x:v>1</x:v>
      </x:c>
      <x:c r="E29" s="21" t="n">
        <x:v>1</x:v>
      </x:c>
      <x:c r="F29" s="21" t="n">
        <x:v>8</x:v>
      </x:c>
      <x:c r="G29" s="21" t="n">
        <x:v>17.76326530612245</x:v>
      </x:c>
      <x:c r="H29" s="21" t="n">
        <x:v>2.220408163265306</x:v>
      </x:c>
      <x:c r="I29" s="21" t="n">
        <x:v>0</x:v>
      </x:c>
      <x:c r="J29" s="21" t="n">
        <x:v>0</x:v>
      </x:c>
      <x:c r="K29" s="21" t="n">
        <x:v>1</x:v>
      </x:c>
      <x:c r="L29" s="21" t="str">
        <x:v>DFCW boundary at 8 m/s closing → RED</x:v>
      </x:c>
    </x:row>
    <x:row r="30">
      <x:c r="A30" s="21" t="str">
        <x:v>FCW_029</x:v>
      </x:c>
      <x:c r="B30" s="21" t="n">
        <x:v>40</x:v>
      </x:c>
      <x:c r="C30" s="21" t="n">
        <x:v>-12</x:v>
      </x:c>
      <x:c r="D30" s="21" t="n">
        <x:v>1</x:v>
      </x:c>
      <x:c r="E30" s="21" t="n">
        <x:v>1</x:v>
      </x:c>
      <x:c r="F30" s="21" t="n">
        <x:v>12</x:v>
      </x:c>
      <x:c r="G30" s="21" t="n">
        <x:v>32.76734693877551</x:v>
      </x:c>
      <x:c r="H30" s="21" t="n">
        <x:v>3.3333333333333335</x:v>
      </x:c>
      <x:c r="I30" s="21" t="n">
        <x:v>0</x:v>
      </x:c>
      <x:c r="J30" s="21" t="n">
        <x:v>1</x:v>
      </x:c>
      <x:c r="K30" s="21" t="n">
        <x:v>0</x:v>
      </x:c>
      <x:c r="L30" s="21" t="str">
        <x:v>Above DFCW with TTC below 4 s → YELLOW</x:v>
      </x:c>
    </x:row>
    <x:row r="31">
      <x:c r="A31" s="21" t="str">
        <x:v>FCW_030</x:v>
      </x:c>
      <x:c r="B31" s="21" t="n">
        <x:v>110</x:v>
      </x:c>
      <x:c r="C31" s="21" t="n">
        <x:v>-25</x:v>
      </x:c>
      <x:c r="D31" s="21" t="n">
        <x:v>1</x:v>
      </x:c>
      <x:c r="E31" s="21" t="n">
        <x:v>1</x:v>
      </x:c>
      <x:c r="F31" s="21" t="n">
        <x:v>25</x:v>
      </x:c>
      <x:c r="G31" s="21" t="n">
        <x:v>109.71938775510205</x:v>
      </x:c>
      <x:c r="H31" s="21" t="n">
        <x:v>4.4</x:v>
      </x:c>
      <x:c r="I31" s="21" t="n">
        <x:v>1</x:v>
      </x:c>
      <x:c r="J31" s="21" t="n">
        <x:v>0</x:v>
      </x:c>
      <x:c r="K31" s="21" t="n">
        <x:v>0</x:v>
      </x:c>
      <x:c r="L31" s="21" t="str">
        <x:v>Above DFCW and TTC above 4 s at high closing speed → SAFE</x:v>
      </x:c>
    </x:row>
  </x:sheetData>
  <x:conditionalFormatting sqref="I2:I21">
    <x:cfRule type="expression" dxfId="2" priority="1">
      <x:formula>I2=1</x:formula>
    </x:cfRule>
  </x:conditionalFormatting>
  <x:conditionalFormatting sqref="J2:J21">
    <x:cfRule type="expression" dxfId="1" priority="2">
      <x:formula>J2=1</x:formula>
    </x:cfRule>
  </x:conditionalFormatting>
  <x:conditionalFormatting sqref="K2:K21">
    <x:cfRule type="expression" dxfId="0" priority="3">
      <x:formula>K2=1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796875" defaultRowHeight="13.800000190734863"/>
  <x:cols>
    <x:col min="1" max="1" width="18" customWidth="1"/>
    <x:col min="2" max="2" width="85" customWidth="1"/>
  </x:cols>
  <x:sheetData>
    <x:row r="1">
      <x:c r="A1" s="1" t="s">
        <x:v>50</x:v>
      </x:c>
      <x:c r="B1" s="1" t="s">
        <x:v>51</x:v>
      </x:c>
    </x:row>
    <x:row r="2">
      <x:c r="A2" s="3" t="s">
        <x:v>52</x:v>
      </x:c>
      <x:c r="B2" s="3" t="s">
        <x:v>53</x:v>
      </x:c>
    </x:row>
    <x:row r="3">
      <x:c r="A3" s="3" t="s">
        <x:v>54</x:v>
      </x:c>
      <x:c r="B3" s="3" t="s">
        <x:v>55</x:v>
      </x:c>
    </x:row>
    <x:row r="4">
      <x:c r="A4" s="3" t="s">
        <x:v>56</x:v>
      </x:c>
      <x:c r="B4" s="3" t="s">
        <x:v>57</x:v>
      </x:c>
    </x:row>
    <x:row r="5">
      <x:c r="A5" s="3" t="s">
        <x:v>58</x:v>
      </x:c>
      <x:c r="B5" s="3" t="s">
        <x:v>59</x:v>
      </x:c>
    </x:row>
    <x:row r="6">
      <x:c r="A6" s="3" t="s">
        <x:v>60</x:v>
      </x:c>
      <x:c r="B6" s="3" t="s">
        <x:v>61</x:v>
      </x:c>
    </x:row>
    <x:row r="7">
      <x:c r="A7" s="3" t="s">
        <x:v>62</x:v>
      </x:c>
      <x:c r="B7" s="3" t="s">
        <x:v>63</x:v>
      </x:c>
    </x:row>
    <x:row r="8">
      <x:c r="A8" s="3" t="s">
        <x:v>64</x:v>
      </x:c>
      <x:c r="B8" s="3" t="s">
        <x:v>65</x:v>
      </x:c>
    </x:row>
  </x:sheetData>
  <x:pageMargins left="0.7" right="0.7" top="0.75" bottom="0.75" header="0.3" footer="0.3"/>
</x:worksheet>
</file>